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s" sheetId="1" state="visible" r:id="rId1"/>
    <sheet name="Master_Plan" sheetId="2" state="visible" r:id="rId2"/>
    <sheet name="Actuals" sheetId="3" state="visible" r:id="rId3"/>
    <sheet name="Dependencies" sheetId="4" state="visible" r:id="rId4"/>
    <sheet name="Thresholds" sheetId="5" state="visible" r:id="rId5"/>
    <sheet name="Issues_Log" sheetId="6" state="visible" r:id="rId6"/>
    <sheet name="Handovers" sheetId="7" state="visible" r:id="rId7"/>
    <sheet name="Resources" sheetId="8" state="visible" r:id="rId8"/>
    <sheet name="Dashboard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MasterPlan" displayName="tblMasterPlan" ref="A1:N11" headerRowCount="1">
  <autoFilter ref="A1:N11"/>
  <tableColumns count="14">
    <tableColumn id="1" name="WBS_ID"/>
    <tableColumn id="2" name="Node_Name"/>
    <tableColumn id="3" name="Building"/>
    <tableColumn id="4" name="Floor"/>
    <tableColumn id="5" name="Trade"/>
    <tableColumn id="6" name="Planned_Start"/>
    <tableColumn id="7" name="Planned_Finish"/>
    <tableColumn id="8" name="Duration_d"/>
    <tableColumn id="9" name="Crew_Size"/>
    <tableColumn id="10" name="Preconditions"/>
    <tableColumn id="11" name="Accept_Criteria"/>
    <tableColumn id="12" name="Milestone_Flag"/>
    <tableColumn id="13" name="Total_Float_d"/>
    <tableColumn id="14" name="RA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Actuals" displayName="tblActuals" ref="A1:I7" headerRowCount="1">
  <autoFilter ref="A1:I7"/>
  <tableColumns count="9">
    <tableColumn id="1" name="WBS_ID"/>
    <tableColumn id="2" name="Report_Date"/>
    <tableColumn id="3" name="Actual_Start"/>
    <tableColumn id="4" name="Actual_Finish"/>
    <tableColumn id="5" name="%Complete"/>
    <tableColumn id="6" name="Daily_Quantity"/>
    <tableColumn id="7" name="Cum_Quantity"/>
    <tableColumn id="8" name="Blockers"/>
    <tableColumn id="9" name="PIC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ependencies" displayName="tblDependencies" ref="A1:D8" headerRowCount="1">
  <autoFilter ref="A1:D8"/>
  <tableColumns count="4">
    <tableColumn id="1" name="Pre_WBS_ID"/>
    <tableColumn id="2" name="Succ_WBS_ID"/>
    <tableColumn id="3" name="Relation"/>
    <tableColumn id="4" name="Lag_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Thresholds" displayName="tblThresholds" ref="A1:F6" headerRowCount="1">
  <autoFilter ref="A1:F6"/>
  <tableColumns count="6">
    <tableColumn id="1" name="Trade"/>
    <tableColumn id="2" name="RAG_SPI_Green"/>
    <tableColumn id="3" name="RAG_SPI_Yellow"/>
    <tableColumn id="4" name="Float_Green_d"/>
    <tableColumn id="5" name="Float_Yellow_d"/>
    <tableColumn id="6" name="Lookahead_Week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1:J2" headerRowCount="1">
  <autoFilter ref="A1:J2"/>
  <tableColumns count="10">
    <tableColumn id="1" name="Issue_ID"/>
    <tableColumn id="2" name="Date"/>
    <tableColumn id="3" name="WBS_ID"/>
    <tableColumn id="4" name="Building"/>
    <tableColumn id="5" name="Issue_Type"/>
    <tableColumn id="6" name="Description"/>
    <tableColumn id="7" name="Owner"/>
    <tableColumn id="8" name="Due_Date"/>
    <tableColumn id="9" name="Status"/>
    <tableColumn id="10" name="Attachme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Handovers" displayName="tblHandovers" ref="A1:H2" headerRowCount="1">
  <autoFilter ref="A1:H2"/>
  <tableColumns count="8">
    <tableColumn id="1" name="From_Trade"/>
    <tableColumn id="2" name="To_Trade"/>
    <tableColumn id="3" name="Building"/>
    <tableColumn id="4" name="Area/Axis"/>
    <tableColumn id="5" name="Handover_Type"/>
    <tableColumn id="6" name="Planned_Date"/>
    <tableColumn id="7" name="Actual_Date"/>
    <tableColumn id="8" name="Accept_Resul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Resources" displayName="tblResources" ref="A1:F2" headerRowCount="1">
  <autoFilter ref="A1:F2"/>
  <tableColumns count="6">
    <tableColumn id="1" name="Resource_Type"/>
    <tableColumn id="2" name="Qty"/>
    <tableColumn id="3" name="Location"/>
    <tableColumn id="4" name="Booking_Slot"/>
    <tableColumn id="5" name="Owner"/>
    <tableColumn id="6" name="Conflic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8" customWidth="1" min="5" max="5"/>
    <col width="16" customWidth="1" min="6" max="6"/>
  </cols>
  <sheetData>
    <row r="1">
      <c r="A1" s="1" t="inlineStr">
        <is>
          <t>Trade</t>
        </is>
      </c>
      <c r="B1" s="1" t="inlineStr">
        <is>
          <t>Issue_Type</t>
        </is>
      </c>
      <c r="C1" s="1" t="inlineStr">
        <is>
          <t>Status</t>
        </is>
      </c>
      <c r="D1" s="1" t="inlineStr">
        <is>
          <t>Relation</t>
        </is>
      </c>
      <c r="E1" s="1" t="inlineStr">
        <is>
          <t>Handover_Type</t>
        </is>
      </c>
      <c r="F1" s="1" t="inlineStr">
        <is>
          <t>Resource_Type</t>
        </is>
      </c>
    </row>
    <row r="2">
      <c r="A2" t="inlineStr">
        <is>
          <t>GC</t>
        </is>
      </c>
      <c r="B2" t="inlineStr">
        <is>
          <t>设计</t>
        </is>
      </c>
      <c r="C2" t="inlineStr">
        <is>
          <t>Open</t>
        </is>
      </c>
      <c r="D2" t="inlineStr">
        <is>
          <t>FS</t>
        </is>
      </c>
      <c r="E2" t="inlineStr">
        <is>
          <t>结构</t>
        </is>
      </c>
      <c r="F2" t="inlineStr">
        <is>
          <t>吊篮</t>
        </is>
      </c>
    </row>
    <row r="3">
      <c r="A3" t="inlineStr">
        <is>
          <t>幕墙</t>
        </is>
      </c>
      <c r="B3" t="inlineStr">
        <is>
          <t>材料</t>
        </is>
      </c>
      <c r="C3" t="inlineStr">
        <is>
          <t>In-Progress</t>
        </is>
      </c>
      <c r="D3" t="inlineStr">
        <is>
          <t>SS</t>
        </is>
      </c>
      <c r="E3" t="inlineStr">
        <is>
          <t>砌筑</t>
        </is>
      </c>
      <c r="F3" t="inlineStr">
        <is>
          <t>塔吊</t>
        </is>
      </c>
    </row>
    <row r="4">
      <c r="A4" t="inlineStr">
        <is>
          <t>门窗</t>
        </is>
      </c>
      <c r="B4" t="inlineStr">
        <is>
          <t>场地</t>
        </is>
      </c>
      <c r="C4" t="inlineStr">
        <is>
          <t>Closed</t>
        </is>
      </c>
      <c r="D4" t="inlineStr">
        <is>
          <t>FF</t>
        </is>
      </c>
      <c r="E4" t="inlineStr">
        <is>
          <t>抹灰</t>
        </is>
      </c>
      <c r="F4" t="inlineStr">
        <is>
          <t>气吊</t>
        </is>
      </c>
    </row>
    <row r="5">
      <c r="A5" t="inlineStr">
        <is>
          <t>机电</t>
        </is>
      </c>
      <c r="B5" t="inlineStr">
        <is>
          <t>移交</t>
        </is>
      </c>
      <c r="D5" t="inlineStr">
        <is>
          <t>SF</t>
        </is>
      </c>
      <c r="E5" t="inlineStr">
        <is>
          <t>屋面</t>
        </is>
      </c>
      <c r="F5" t="inlineStr">
        <is>
          <t>班组</t>
        </is>
      </c>
    </row>
    <row r="6">
      <c r="A6" t="inlineStr">
        <is>
          <t>精装</t>
        </is>
      </c>
      <c r="B6" t="inlineStr">
        <is>
          <t>验收</t>
        </is>
      </c>
      <c r="E6" t="inlineStr">
        <is>
          <t>立面</t>
        </is>
      </c>
    </row>
    <row r="7">
      <c r="B7" t="inlineStr">
        <is>
          <t>天气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  <col width="12" customWidth="1" min="8" max="8"/>
    <col width="12" customWidth="1" min="9" max="9"/>
    <col width="28" customWidth="1" min="10" max="10"/>
    <col width="26" customWidth="1" min="11" max="11"/>
    <col width="14" customWidth="1" min="12" max="12"/>
    <col width="14" customWidth="1" min="13" max="13"/>
    <col width="10" customWidth="1" min="14" max="14"/>
  </cols>
  <sheetData>
    <row r="1">
      <c r="A1" s="1" t="inlineStr">
        <is>
          <t>WBS_ID</t>
        </is>
      </c>
      <c r="B1" s="1" t="inlineStr">
        <is>
          <t>Node_Name</t>
        </is>
      </c>
      <c r="C1" s="1" t="inlineStr">
        <is>
          <t>Building</t>
        </is>
      </c>
      <c r="D1" s="1" t="inlineStr">
        <is>
          <t>Floor</t>
        </is>
      </c>
      <c r="E1" s="1" t="inlineStr">
        <is>
          <t>Trade</t>
        </is>
      </c>
      <c r="F1" s="1" t="inlineStr">
        <is>
          <t>Planned_Start</t>
        </is>
      </c>
      <c r="G1" s="1" t="inlineStr">
        <is>
          <t>Planned_Finish</t>
        </is>
      </c>
      <c r="H1" s="1" t="inlineStr">
        <is>
          <t>Duration_d</t>
        </is>
      </c>
      <c r="I1" s="1" t="inlineStr">
        <is>
          <t>Crew_Size</t>
        </is>
      </c>
      <c r="J1" s="1" t="inlineStr">
        <is>
          <t>Preconditions</t>
        </is>
      </c>
      <c r="K1" s="1" t="inlineStr">
        <is>
          <t>Accept_Criteria</t>
        </is>
      </c>
      <c r="L1" s="1" t="inlineStr">
        <is>
          <t>Milestone_Flag</t>
        </is>
      </c>
      <c r="M1" s="1" t="inlineStr">
        <is>
          <t>Total_Float_d</t>
        </is>
      </c>
      <c r="N1" s="1" t="inlineStr">
        <is>
          <t>RAG</t>
        </is>
      </c>
    </row>
    <row r="2">
      <c r="A2" t="inlineStr">
        <is>
          <t>B01-F-EXT-001</t>
        </is>
      </c>
      <c r="B2" t="inlineStr">
        <is>
          <t>外墙抹灰完成</t>
        </is>
      </c>
      <c r="C2" t="inlineStr">
        <is>
          <t>B01</t>
        </is>
      </c>
      <c r="D2" t="inlineStr">
        <is>
          <t>ALL</t>
        </is>
      </c>
      <c r="E2" t="inlineStr">
        <is>
          <t>GC</t>
        </is>
      </c>
      <c r="F2" s="2" t="n">
        <v>45870</v>
      </c>
      <c r="G2" s="2" t="n">
        <v>45874</v>
      </c>
      <c r="H2" t="n">
        <v>5</v>
      </c>
      <c r="I2" t="n">
        <v>12</v>
      </c>
      <c r="J2" t="inlineStr"/>
      <c r="K2" t="inlineStr">
        <is>
          <t>检验批合格</t>
        </is>
      </c>
      <c r="L2" t="inlineStr">
        <is>
          <t>N</t>
        </is>
      </c>
      <c r="M2" t="n">
        <v>1</v>
      </c>
      <c r="N2" t="inlineStr">
        <is>
          <t>Yellow</t>
        </is>
      </c>
    </row>
    <row r="3">
      <c r="A3" t="inlineStr">
        <is>
          <t>B01-F-EXT-002</t>
        </is>
      </c>
      <c r="B3" t="inlineStr">
        <is>
          <t>外墙第一遍腻子</t>
        </is>
      </c>
      <c r="C3" t="inlineStr">
        <is>
          <t>B01</t>
        </is>
      </c>
      <c r="D3" t="inlineStr">
        <is>
          <t>ALL</t>
        </is>
      </c>
      <c r="E3" t="inlineStr">
        <is>
          <t>GC</t>
        </is>
      </c>
      <c r="F3" s="2" t="n">
        <v>45875</v>
      </c>
      <c r="G3" s="2" t="n">
        <v>45877</v>
      </c>
      <c r="H3" t="n">
        <v>3</v>
      </c>
      <c r="I3" t="n">
        <v>10</v>
      </c>
      <c r="J3" t="inlineStr"/>
      <c r="K3" t="inlineStr">
        <is>
          <t>检验批合格</t>
        </is>
      </c>
      <c r="L3" t="inlineStr">
        <is>
          <t>N</t>
        </is>
      </c>
      <c r="M3" t="n">
        <v>1</v>
      </c>
      <c r="N3" t="inlineStr">
        <is>
          <t>Yellow</t>
        </is>
      </c>
    </row>
    <row r="4">
      <c r="A4" t="inlineStr">
        <is>
          <t>B01-F-EXT-003</t>
        </is>
      </c>
      <c r="B4" t="inlineStr">
        <is>
          <t>拆外架</t>
        </is>
      </c>
      <c r="C4" t="inlineStr">
        <is>
          <t>B01</t>
        </is>
      </c>
      <c r="D4" t="inlineStr">
        <is>
          <t>ALL</t>
        </is>
      </c>
      <c r="E4" t="inlineStr">
        <is>
          <t>GC</t>
        </is>
      </c>
      <c r="F4" s="2" t="n">
        <v>45878</v>
      </c>
      <c r="G4" s="2" t="n">
        <v>45879</v>
      </c>
      <c r="H4" t="n">
        <v>2</v>
      </c>
      <c r="I4" t="n">
        <v>8</v>
      </c>
      <c r="J4" t="inlineStr">
        <is>
          <t>外墙抹灰+一遍腻子完成</t>
        </is>
      </c>
      <c r="K4" t="inlineStr">
        <is>
          <t>安全验收通过</t>
        </is>
      </c>
      <c r="L4" t="inlineStr">
        <is>
          <t>N</t>
        </is>
      </c>
      <c r="M4" t="n">
        <v>1</v>
      </c>
      <c r="N4" t="inlineStr">
        <is>
          <t>Yellow</t>
        </is>
      </c>
    </row>
    <row r="5">
      <c r="A5" t="inlineStr">
        <is>
          <t>B01-RF-001</t>
        </is>
      </c>
      <c r="B5" t="inlineStr">
        <is>
          <t>屋面保护层浇筑完成</t>
        </is>
      </c>
      <c r="C5" t="inlineStr">
        <is>
          <t>B01</t>
        </is>
      </c>
      <c r="D5" t="inlineStr">
        <is>
          <t>RF</t>
        </is>
      </c>
      <c r="E5" t="inlineStr">
        <is>
          <t>GC</t>
        </is>
      </c>
      <c r="F5" s="2" t="n">
        <v>45870</v>
      </c>
      <c r="G5" s="2" t="n">
        <v>45874</v>
      </c>
      <c r="H5" t="n">
        <v>5</v>
      </c>
      <c r="I5" t="n">
        <v>8</v>
      </c>
      <c r="J5" t="inlineStr"/>
      <c r="K5" t="inlineStr">
        <is>
          <t>检验批合格</t>
        </is>
      </c>
      <c r="L5" t="inlineStr">
        <is>
          <t>N</t>
        </is>
      </c>
      <c r="M5" t="n">
        <v>5</v>
      </c>
      <c r="N5" t="inlineStr">
        <is>
          <t>Green</t>
        </is>
      </c>
    </row>
    <row r="6">
      <c r="A6" t="inlineStr">
        <is>
          <t>B01-RF-002</t>
        </is>
      </c>
      <c r="B6" t="inlineStr">
        <is>
          <t>屋面保护层养护达标(≥10d)</t>
        </is>
      </c>
      <c r="C6" t="inlineStr">
        <is>
          <t>B01</t>
        </is>
      </c>
      <c r="D6" t="inlineStr">
        <is>
          <t>RF</t>
        </is>
      </c>
      <c r="E6" t="inlineStr">
        <is>
          <t>GC</t>
        </is>
      </c>
      <c r="F6" s="2" t="n">
        <v>45874</v>
      </c>
      <c r="G6" s="2" t="n">
        <v>45884</v>
      </c>
      <c r="H6" t="n">
        <v>11</v>
      </c>
      <c r="I6" t="n">
        <v>0</v>
      </c>
      <c r="J6" t="inlineStr">
        <is>
          <t>屋面保护层完成</t>
        </is>
      </c>
      <c r="K6" t="inlineStr">
        <is>
          <t>养护记录合格</t>
        </is>
      </c>
      <c r="L6" t="inlineStr">
        <is>
          <t>Y</t>
        </is>
      </c>
      <c r="M6" t="n">
        <v>3</v>
      </c>
      <c r="N6" t="inlineStr">
        <is>
          <t>Green</t>
        </is>
      </c>
    </row>
    <row r="7">
      <c r="A7" t="inlineStr">
        <is>
          <t>B01-GONDL-001</t>
        </is>
      </c>
      <c r="B7" t="inlineStr">
        <is>
          <t>吊篮安装</t>
        </is>
      </c>
      <c r="C7" t="inlineStr">
        <is>
          <t>B01</t>
        </is>
      </c>
      <c r="D7" t="inlineStr">
        <is>
          <t>ALL</t>
        </is>
      </c>
      <c r="E7" t="inlineStr">
        <is>
          <t>幕墙</t>
        </is>
      </c>
      <c r="F7" s="2" t="n">
        <v>45885</v>
      </c>
      <c r="G7" s="2" t="n">
        <v>45885</v>
      </c>
      <c r="H7" t="n">
        <v>1</v>
      </c>
      <c r="I7" t="n">
        <v>6</v>
      </c>
      <c r="J7" t="inlineStr">
        <is>
          <t>外架拆除完成+屋面养护≥10天</t>
        </is>
      </c>
      <c r="K7" t="inlineStr">
        <is>
          <t>设备验收合格</t>
        </is>
      </c>
      <c r="L7" t="inlineStr">
        <is>
          <t>N</t>
        </is>
      </c>
      <c r="M7" t="n">
        <v>2</v>
      </c>
      <c r="N7" t="inlineStr">
        <is>
          <t>Green</t>
        </is>
      </c>
    </row>
    <row r="8">
      <c r="A8" t="inlineStr">
        <is>
          <t>B01-PAINT-001</t>
        </is>
      </c>
      <c r="B8" t="inlineStr">
        <is>
          <t>外立面涂料开始</t>
        </is>
      </c>
      <c r="C8" t="inlineStr">
        <is>
          <t>B01</t>
        </is>
      </c>
      <c r="D8" t="inlineStr">
        <is>
          <t>ALL</t>
        </is>
      </c>
      <c r="E8" t="inlineStr">
        <is>
          <t>GC</t>
        </is>
      </c>
      <c r="F8" s="2" t="n">
        <v>45886</v>
      </c>
      <c r="G8" s="2" t="n">
        <v>45894</v>
      </c>
      <c r="H8" t="n">
        <v>9</v>
      </c>
      <c r="I8" t="n">
        <v>10</v>
      </c>
      <c r="J8" t="inlineStr">
        <is>
          <t>吊篮到位</t>
        </is>
      </c>
      <c r="K8" t="inlineStr">
        <is>
          <t>抽检合格</t>
        </is>
      </c>
      <c r="L8" t="inlineStr">
        <is>
          <t>N</t>
        </is>
      </c>
      <c r="M8" t="n">
        <v>0</v>
      </c>
      <c r="N8" t="inlineStr">
        <is>
          <t>Yellow</t>
        </is>
      </c>
    </row>
    <row r="9">
      <c r="A9" t="inlineStr">
        <is>
          <t>B01-GLASS-001</t>
        </is>
      </c>
      <c r="B9" t="inlineStr">
        <is>
          <t>玻璃/石材/铝板安装开始</t>
        </is>
      </c>
      <c r="C9" t="inlineStr">
        <is>
          <t>B01</t>
        </is>
      </c>
      <c r="D9" t="inlineStr">
        <is>
          <t>ALL</t>
        </is>
      </c>
      <c r="E9" t="inlineStr">
        <is>
          <t>幕墙</t>
        </is>
      </c>
      <c r="F9" s="2" t="n">
        <v>45886</v>
      </c>
      <c r="G9" s="2" t="n">
        <v>45899</v>
      </c>
      <c r="H9" t="n">
        <v>14</v>
      </c>
      <c r="I9" t="n">
        <v>12</v>
      </c>
      <c r="J9" t="inlineStr">
        <is>
          <t>吊篮到位</t>
        </is>
      </c>
      <c r="K9" t="inlineStr">
        <is>
          <t>抽检合格</t>
        </is>
      </c>
      <c r="L9" t="inlineStr">
        <is>
          <t>N</t>
        </is>
      </c>
      <c r="M9" t="n">
        <v>0</v>
      </c>
      <c r="N9" t="inlineStr">
        <is>
          <t>Yellow</t>
        </is>
      </c>
    </row>
    <row r="10">
      <c r="A10" t="inlineStr">
        <is>
          <t>B01-SEAL-001</t>
        </is>
      </c>
      <c r="B10" t="inlineStr">
        <is>
          <t>打胶密封</t>
        </is>
      </c>
      <c r="C10" t="inlineStr">
        <is>
          <t>B01</t>
        </is>
      </c>
      <c r="D10" t="inlineStr">
        <is>
          <t>ALL</t>
        </is>
      </c>
      <c r="E10" t="inlineStr">
        <is>
          <t>幕墙</t>
        </is>
      </c>
      <c r="F10" s="2" t="n">
        <v>45900</v>
      </c>
      <c r="G10" s="2" t="n">
        <v>45903</v>
      </c>
      <c r="H10" t="n">
        <v>4</v>
      </c>
      <c r="I10" t="n">
        <v>6</v>
      </c>
      <c r="J10" t="inlineStr">
        <is>
          <t>立面安装完成</t>
        </is>
      </c>
      <c r="K10" t="inlineStr">
        <is>
          <t>淋水试验合格</t>
        </is>
      </c>
      <c r="L10" t="inlineStr">
        <is>
          <t>N</t>
        </is>
      </c>
      <c r="M10" t="n">
        <v>0</v>
      </c>
      <c r="N10" t="inlineStr">
        <is>
          <t>Yellow</t>
        </is>
      </c>
    </row>
    <row r="11">
      <c r="A11" t="inlineStr">
        <is>
          <t>B01-HANDOVER-001</t>
        </is>
      </c>
      <c r="B11" t="inlineStr">
        <is>
          <t>成品保护与清理+分段验收</t>
        </is>
      </c>
      <c r="C11" t="inlineStr">
        <is>
          <t>B01</t>
        </is>
      </c>
      <c r="D11" t="inlineStr">
        <is>
          <t>ALL</t>
        </is>
      </c>
      <c r="E11" t="inlineStr">
        <is>
          <t>幕墙</t>
        </is>
      </c>
      <c r="F11" s="2" t="n">
        <v>45904</v>
      </c>
      <c r="G11" s="2" t="n">
        <v>45906</v>
      </c>
      <c r="H11" t="n">
        <v>3</v>
      </c>
      <c r="I11" t="n">
        <v>6</v>
      </c>
      <c r="J11" t="inlineStr"/>
      <c r="K11" t="inlineStr">
        <is>
          <t>验收合格</t>
        </is>
      </c>
      <c r="L11" t="inlineStr">
        <is>
          <t>Y</t>
        </is>
      </c>
      <c r="M11" t="n">
        <v>0</v>
      </c>
      <c r="N11" t="inlineStr">
        <is>
          <t>Yellow</t>
        </is>
      </c>
    </row>
  </sheetData>
  <conditionalFormatting sqref="N2:N2000">
    <cfRule type="expression" priority="1" dxfId="0">
      <formula>$N2="Red"</formula>
    </cfRule>
    <cfRule type="expression" priority="2" dxfId="1">
      <formula>$N2="Yellow"</formula>
    </cfRule>
    <cfRule type="expression" priority="3" dxfId="2">
      <formula>$N2="Green"</formula>
    </cfRule>
  </conditionalFormatting>
  <dataValidations count="3">
    <dataValidation sqref="E2:E2000" showDropDown="0" showInputMessage="0" showErrorMessage="0" allowBlank="1" type="list">
      <formula1>=Lookups!$A$2:$A$100</formula1>
    </dataValidation>
    <dataValidation sqref="L2:L2000" showDropDown="0" showInputMessage="0" showErrorMessage="0" allowBlank="1" type="list">
      <formula1>"Y,N"</formula1>
    </dataValidation>
    <dataValidation sqref="N2:N2000" showDropDown="0" showInputMessage="0" showErrorMessage="0" allowBlank="1" type="list">
      <formula1>"Green,Yellow,Red"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  <col width="24" customWidth="1" min="8" max="8"/>
    <col width="14" customWidth="1" min="9" max="9"/>
  </cols>
  <sheetData>
    <row r="1">
      <c r="A1" s="1" t="inlineStr">
        <is>
          <t>WBS_ID</t>
        </is>
      </c>
      <c r="B1" s="1" t="inlineStr">
        <is>
          <t>Report_Date</t>
        </is>
      </c>
      <c r="C1" s="1" t="inlineStr">
        <is>
          <t>Actual_Start</t>
        </is>
      </c>
      <c r="D1" s="1" t="inlineStr">
        <is>
          <t>Actual_Finish</t>
        </is>
      </c>
      <c r="E1" s="1" t="inlineStr">
        <is>
          <t>%Complete</t>
        </is>
      </c>
      <c r="F1" s="1" t="inlineStr">
        <is>
          <t>Daily_Quantity</t>
        </is>
      </c>
      <c r="G1" s="1" t="inlineStr">
        <is>
          <t>Cum_Quantity</t>
        </is>
      </c>
      <c r="H1" s="1" t="inlineStr">
        <is>
          <t>Blockers</t>
        </is>
      </c>
      <c r="I1" s="1" t="inlineStr">
        <is>
          <t>PIC</t>
        </is>
      </c>
    </row>
    <row r="2">
      <c r="A2" t="inlineStr">
        <is>
          <t>B01-F-EXT-001</t>
        </is>
      </c>
      <c r="B2" s="2" t="n">
        <v>45876</v>
      </c>
      <c r="C2" s="2" t="n">
        <v>45870</v>
      </c>
      <c r="D2" s="2" t="n">
        <v>45876</v>
      </c>
      <c r="E2" t="n">
        <v>100</v>
      </c>
      <c r="I2" t="inlineStr">
        <is>
          <t>张三</t>
        </is>
      </c>
    </row>
    <row r="3">
      <c r="A3" t="inlineStr">
        <is>
          <t>B01-F-EXT-002</t>
        </is>
      </c>
      <c r="B3" s="2" t="n">
        <v>45880</v>
      </c>
      <c r="C3" s="2" t="n">
        <v>45878</v>
      </c>
      <c r="D3" s="2" t="n">
        <v>45880</v>
      </c>
      <c r="E3" t="n">
        <v>100</v>
      </c>
      <c r="I3" t="inlineStr">
        <is>
          <t>张三</t>
        </is>
      </c>
    </row>
    <row r="4">
      <c r="A4" t="inlineStr">
        <is>
          <t>B01-F-EXT-003</t>
        </is>
      </c>
      <c r="B4" s="2" t="n">
        <v>45881</v>
      </c>
      <c r="C4" s="2" t="n">
        <v>45880</v>
      </c>
      <c r="D4" s="2" t="n">
        <v>45881</v>
      </c>
      <c r="E4" t="n">
        <v>100</v>
      </c>
      <c r="I4" t="inlineStr">
        <is>
          <t>李四</t>
        </is>
      </c>
    </row>
    <row r="5">
      <c r="A5" t="inlineStr">
        <is>
          <t>B01-RF-001</t>
        </is>
      </c>
      <c r="B5" s="2" t="n">
        <v>45874</v>
      </c>
      <c r="C5" s="2" t="n">
        <v>45870</v>
      </c>
      <c r="D5" s="2" t="n">
        <v>45874</v>
      </c>
      <c r="E5" t="n">
        <v>100</v>
      </c>
      <c r="I5" t="inlineStr">
        <is>
          <t>王五</t>
        </is>
      </c>
    </row>
    <row r="6">
      <c r="A6" t="inlineStr">
        <is>
          <t>B01-RF-002</t>
        </is>
      </c>
      <c r="B6" s="2" t="n">
        <v>45884</v>
      </c>
      <c r="C6" s="2" t="n">
        <v>45874</v>
      </c>
      <c r="D6" s="2" t="n">
        <v>45884</v>
      </c>
      <c r="E6" t="n">
        <v>100</v>
      </c>
      <c r="I6" t="inlineStr">
        <is>
          <t>王五</t>
        </is>
      </c>
    </row>
    <row r="7">
      <c r="A7" t="inlineStr">
        <is>
          <t>B01-GONDL-001</t>
        </is>
      </c>
      <c r="B7" s="2" t="n">
        <v>45885</v>
      </c>
      <c r="C7" s="2" t="n">
        <v>45885</v>
      </c>
      <c r="D7" s="2" t="n"/>
      <c r="E7" t="n">
        <v>5</v>
      </c>
      <c r="I7" t="inlineStr">
        <is>
          <t>赵六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0" customWidth="1" min="4" max="4"/>
  </cols>
  <sheetData>
    <row r="1">
      <c r="A1" s="1" t="inlineStr">
        <is>
          <t>Pre_WBS_ID</t>
        </is>
      </c>
      <c r="B1" s="1" t="inlineStr">
        <is>
          <t>Succ_WBS_ID</t>
        </is>
      </c>
      <c r="C1" s="1" t="inlineStr">
        <is>
          <t>Relation</t>
        </is>
      </c>
      <c r="D1" s="1" t="inlineStr">
        <is>
          <t>Lag_d</t>
        </is>
      </c>
    </row>
    <row r="2">
      <c r="A2" t="inlineStr">
        <is>
          <t>B01-F-EXT-002</t>
        </is>
      </c>
      <c r="B2" t="inlineStr">
        <is>
          <t>B01-F-EXT-003</t>
        </is>
      </c>
      <c r="C2" t="inlineStr">
        <is>
          <t>FS</t>
        </is>
      </c>
      <c r="D2" t="n">
        <v>0</v>
      </c>
    </row>
    <row r="3">
      <c r="A3" t="inlineStr">
        <is>
          <t>B01-RF-002</t>
        </is>
      </c>
      <c r="B3" t="inlineStr">
        <is>
          <t>B01-GONDL-001</t>
        </is>
      </c>
      <c r="C3" t="inlineStr">
        <is>
          <t>FS</t>
        </is>
      </c>
      <c r="D3" t="n">
        <v>0</v>
      </c>
    </row>
    <row r="4">
      <c r="A4" t="inlineStr">
        <is>
          <t>B01-F-EXT-003</t>
        </is>
      </c>
      <c r="B4" t="inlineStr">
        <is>
          <t>B01-GONDL-001</t>
        </is>
      </c>
      <c r="C4" t="inlineStr">
        <is>
          <t>FS</t>
        </is>
      </c>
      <c r="D4" t="n">
        <v>0</v>
      </c>
    </row>
    <row r="5">
      <c r="A5" t="inlineStr">
        <is>
          <t>B01-GONDL-001</t>
        </is>
      </c>
      <c r="B5" t="inlineStr">
        <is>
          <t>B01-PAINT-001</t>
        </is>
      </c>
      <c r="C5" t="inlineStr">
        <is>
          <t>FS</t>
        </is>
      </c>
      <c r="D5" t="n">
        <v>0</v>
      </c>
    </row>
    <row r="6">
      <c r="A6" t="inlineStr">
        <is>
          <t>B01-GONDL-001</t>
        </is>
      </c>
      <c r="B6" t="inlineStr">
        <is>
          <t>B01-GLASS-001</t>
        </is>
      </c>
      <c r="C6" t="inlineStr">
        <is>
          <t>FS</t>
        </is>
      </c>
      <c r="D6" t="n">
        <v>0</v>
      </c>
    </row>
    <row r="7">
      <c r="A7" t="inlineStr">
        <is>
          <t>B01-GLASS-001</t>
        </is>
      </c>
      <c r="B7" t="inlineStr">
        <is>
          <t>B01-SEAL-001</t>
        </is>
      </c>
      <c r="C7" t="inlineStr">
        <is>
          <t>FS</t>
        </is>
      </c>
      <c r="D7" t="n">
        <v>0</v>
      </c>
    </row>
    <row r="8">
      <c r="A8" t="inlineStr">
        <is>
          <t>B01-SEAL-001</t>
        </is>
      </c>
      <c r="B8" t="inlineStr">
        <is>
          <t>B01-HANDOVER-001</t>
        </is>
      </c>
      <c r="C8" t="inlineStr">
        <is>
          <t>FS</t>
        </is>
      </c>
      <c r="D8" t="n">
        <v>0</v>
      </c>
    </row>
  </sheetData>
  <dataValidations count="1">
    <dataValidation sqref="C2:C2000" showDropDown="0" showInputMessage="0" showErrorMessage="0" allowBlank="1" type="list">
      <formula1>=Lookups!$D$2:$D$100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Trade</t>
        </is>
      </c>
      <c r="B1" s="1" t="inlineStr">
        <is>
          <t>RAG_SPI_Green</t>
        </is>
      </c>
      <c r="C1" s="1" t="inlineStr">
        <is>
          <t>RAG_SPI_Yellow</t>
        </is>
      </c>
      <c r="D1" s="1" t="inlineStr">
        <is>
          <t>Float_Green_d</t>
        </is>
      </c>
      <c r="E1" s="1" t="inlineStr">
        <is>
          <t>Float_Yellow_d</t>
        </is>
      </c>
      <c r="F1" s="1" t="inlineStr">
        <is>
          <t>Lookahead_Weeks</t>
        </is>
      </c>
    </row>
    <row r="2">
      <c r="A2" t="inlineStr">
        <is>
          <t>GC</t>
        </is>
      </c>
      <c r="B2" t="n">
        <v>0.95</v>
      </c>
      <c r="C2" t="n">
        <v>0.85</v>
      </c>
      <c r="D2" t="n">
        <v>3</v>
      </c>
      <c r="E2" t="n">
        <v>2</v>
      </c>
      <c r="F2" t="n">
        <v>4</v>
      </c>
    </row>
    <row r="3">
      <c r="A3" t="inlineStr">
        <is>
          <t>幕墙</t>
        </is>
      </c>
      <c r="B3" t="n">
        <v>0.95</v>
      </c>
      <c r="C3" t="n">
        <v>0.85</v>
      </c>
      <c r="D3" t="n">
        <v>3</v>
      </c>
      <c r="E3" t="n">
        <v>2</v>
      </c>
      <c r="F3" t="n">
        <v>4</v>
      </c>
    </row>
    <row r="4">
      <c r="A4" t="inlineStr">
        <is>
          <t>门窗</t>
        </is>
      </c>
      <c r="B4" t="n">
        <v>0.95</v>
      </c>
      <c r="C4" t="n">
        <v>0.85</v>
      </c>
      <c r="D4" t="n">
        <v>3</v>
      </c>
      <c r="E4" t="n">
        <v>2</v>
      </c>
      <c r="F4" t="n">
        <v>4</v>
      </c>
    </row>
    <row r="5">
      <c r="A5" t="inlineStr">
        <is>
          <t>机电</t>
        </is>
      </c>
      <c r="B5" t="n">
        <v>0.95</v>
      </c>
      <c r="C5" t="n">
        <v>0.85</v>
      </c>
      <c r="D5" t="n">
        <v>3</v>
      </c>
      <c r="E5" t="n">
        <v>2</v>
      </c>
      <c r="F5" t="n">
        <v>4</v>
      </c>
    </row>
    <row r="6">
      <c r="A6" t="inlineStr">
        <is>
          <t>精装</t>
        </is>
      </c>
      <c r="B6" t="n">
        <v>0.95</v>
      </c>
      <c r="C6" t="n">
        <v>0.85</v>
      </c>
      <c r="D6" t="n">
        <v>3</v>
      </c>
      <c r="E6" t="n">
        <v>2</v>
      </c>
      <c r="F6" t="n">
        <v>4</v>
      </c>
    </row>
  </sheetData>
  <dataValidations count="1">
    <dataValidation sqref="A2:A2000" showDropDown="0" showInputMessage="0" showErrorMessage="0" allowBlank="1" type="list">
      <formula1>=Lookups!$A$2:$A$100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4" customWidth="1" min="5" max="5"/>
    <col width="36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>
      <c r="A1" s="1" t="inlineStr">
        <is>
          <t>Issue_ID</t>
        </is>
      </c>
      <c r="B1" s="1" t="inlineStr">
        <is>
          <t>Date</t>
        </is>
      </c>
      <c r="C1" s="1" t="inlineStr">
        <is>
          <t>WBS_ID</t>
        </is>
      </c>
      <c r="D1" s="1" t="inlineStr">
        <is>
          <t>Building</t>
        </is>
      </c>
      <c r="E1" s="1" t="inlineStr">
        <is>
          <t>Issue_Type</t>
        </is>
      </c>
      <c r="F1" s="1" t="inlineStr">
        <is>
          <t>Description</t>
        </is>
      </c>
      <c r="G1" s="1" t="inlineStr">
        <is>
          <t>Owner</t>
        </is>
      </c>
      <c r="H1" s="1" t="inlineStr">
        <is>
          <t>Due_Date</t>
        </is>
      </c>
      <c r="I1" s="1" t="inlineStr">
        <is>
          <t>Status</t>
        </is>
      </c>
      <c r="J1" s="1" t="inlineStr">
        <is>
          <t>Attachment</t>
        </is>
      </c>
    </row>
    <row r="2">
      <c r="A2" t="inlineStr">
        <is>
          <t>ISS-0001</t>
        </is>
      </c>
      <c r="B2" s="2" t="n">
        <v>45879</v>
      </c>
      <c r="C2" t="inlineStr">
        <is>
          <t>B01-F-EXT-003</t>
        </is>
      </c>
      <c r="D2" t="inlineStr">
        <is>
          <t>B01</t>
        </is>
      </c>
      <c r="E2" t="inlineStr">
        <is>
          <t>场地</t>
        </is>
      </c>
      <c r="F2" t="inlineStr">
        <is>
          <t>外架拆除工序与内装交叉，需夜间施工</t>
        </is>
      </c>
      <c r="G2" t="inlineStr">
        <is>
          <t>总包-现场经理</t>
        </is>
      </c>
      <c r="H2" s="2" t="n">
        <v>45881</v>
      </c>
      <c r="I2" t="inlineStr">
        <is>
          <t>In-Progress</t>
        </is>
      </c>
    </row>
  </sheetData>
  <dataValidations count="2">
    <dataValidation sqref="E2:E2000" showDropDown="0" showInputMessage="0" showErrorMessage="0" allowBlank="1" type="list">
      <formula1>=Lookups!$B$2:$B$100</formula1>
    </dataValidation>
    <dataValidation sqref="I2:I2000" showDropDown="0" showInputMessage="0" showErrorMessage="0" allowBlank="1" type="list">
      <formula1>=Lookups!$C$2:$C$100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From_Trade</t>
        </is>
      </c>
      <c r="B1" s="1" t="inlineStr">
        <is>
          <t>To_Trade</t>
        </is>
      </c>
      <c r="C1" s="1" t="inlineStr">
        <is>
          <t>Building</t>
        </is>
      </c>
      <c r="D1" s="1" t="inlineStr">
        <is>
          <t>Area/Axis</t>
        </is>
      </c>
      <c r="E1" s="1" t="inlineStr">
        <is>
          <t>Handover_Type</t>
        </is>
      </c>
      <c r="F1" s="1" t="inlineStr">
        <is>
          <t>Planned_Date</t>
        </is>
      </c>
      <c r="G1" s="1" t="inlineStr">
        <is>
          <t>Actual_Date</t>
        </is>
      </c>
      <c r="H1" s="1" t="inlineStr">
        <is>
          <t>Accept_Result</t>
        </is>
      </c>
    </row>
    <row r="2">
      <c r="A2" t="inlineStr">
        <is>
          <t>GC</t>
        </is>
      </c>
      <c r="B2" t="inlineStr">
        <is>
          <t>幕墙</t>
        </is>
      </c>
      <c r="C2" t="inlineStr">
        <is>
          <t>B01</t>
        </is>
      </c>
      <c r="D2" t="inlineStr">
        <is>
          <t>A~C/1~4轴</t>
        </is>
      </c>
      <c r="E2" t="inlineStr">
        <is>
          <t>立面</t>
        </is>
      </c>
      <c r="F2" s="2" t="n">
        <v>45885</v>
      </c>
      <c r="G2" s="2" t="n">
        <v>45885</v>
      </c>
      <c r="H2" t="inlineStr">
        <is>
          <t>合格</t>
        </is>
      </c>
    </row>
  </sheetData>
  <dataValidations count="3">
    <dataValidation sqref="A2:A2000" showDropDown="0" showInputMessage="0" showErrorMessage="0" allowBlank="1" type="list">
      <formula1>=Lookups!$A$2:$A$100</formula1>
    </dataValidation>
    <dataValidation sqref="B2:B2000" showDropDown="0" showInputMessage="0" showErrorMessage="0" allowBlank="1" type="list">
      <formula1>=Lookups!$A$2:$A$100</formula1>
    </dataValidation>
    <dataValidation sqref="E2:E2000" showDropDown="0" showInputMessage="0" showErrorMessage="0" allowBlank="1" type="list">
      <formula1>=Lookups!$E$2:$E$100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0" customWidth="1" min="4" max="4"/>
    <col width="16" customWidth="1" min="5" max="5"/>
    <col width="24" customWidth="1" min="6" max="6"/>
  </cols>
  <sheetData>
    <row r="1">
      <c r="A1" s="1" t="inlineStr">
        <is>
          <t>Resource_Type</t>
        </is>
      </c>
      <c r="B1" s="1" t="inlineStr">
        <is>
          <t>Qty</t>
        </is>
      </c>
      <c r="C1" s="1" t="inlineStr">
        <is>
          <t>Location</t>
        </is>
      </c>
      <c r="D1" s="1" t="inlineStr">
        <is>
          <t>Booking_Slot</t>
        </is>
      </c>
      <c r="E1" s="1" t="inlineStr">
        <is>
          <t>Owner</t>
        </is>
      </c>
      <c r="F1" s="1" t="inlineStr">
        <is>
          <t>Conflicts</t>
        </is>
      </c>
    </row>
    <row r="2">
      <c r="A2" t="inlineStr">
        <is>
          <t>吊篮</t>
        </is>
      </c>
      <c r="B2" t="n">
        <v>6</v>
      </c>
      <c r="C2" t="inlineStr">
        <is>
          <t>B01 东立面</t>
        </is>
      </c>
      <c r="D2" t="inlineStr">
        <is>
          <t>2025-08-16 ~ 2025-09-10</t>
        </is>
      </c>
      <c r="E2" t="inlineStr">
        <is>
          <t>幕墙-设备主管</t>
        </is>
      </c>
      <c r="F2" t="inlineStr">
        <is>
          <t>与B02冲突(建议错峰)</t>
        </is>
      </c>
    </row>
  </sheetData>
  <dataValidations count="1">
    <dataValidation sqref="A2:A2000" showDropDown="0" showInputMessage="0" showErrorMessage="0" allowBlank="1" type="list">
      <formula1>=Lookups!$F$2:$F$100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s="2" t="n">
        <v>45880</v>
      </c>
    </row>
    <row r="2">
      <c r="A2" t="inlineStr">
        <is>
          <t>Week_End</t>
        </is>
      </c>
      <c r="B2" s="2" t="n">
        <v>45886</v>
      </c>
    </row>
    <row r="4">
      <c r="A4" s="3" t="inlineStr">
        <is>
          <t>PCR (Project)</t>
        </is>
      </c>
      <c r="B4" s="4">
        <f>IFERROR(COUNTIFS(Master_Plan!G:G,"&gt;=&amp;B1,Master_Plan!G:G, &lt;=&amp;B2)/COUNTA(Master_Plan!A:A),0)</f>
        <v/>
      </c>
    </row>
    <row r="5">
      <c r="A5" s="3" t="inlineStr">
        <is>
          <t>ACR (Project)</t>
        </is>
      </c>
      <c r="B5" s="4">
        <f>IFERROR(COUNTIFS(Actuals!D:D,"&gt;=&amp;B1,Actuals!D:D, &lt;=&amp;B2)/COUNTA(Master_Plan!A:A),0)</f>
        <v/>
      </c>
    </row>
    <row r="6">
      <c r="A6" s="3" t="inlineStr">
        <is>
          <t>SPI (Project)</t>
        </is>
      </c>
      <c r="B6" s="5">
        <f>IFERROR(B5/B4,0)</f>
        <v/>
      </c>
    </row>
    <row r="8">
      <c r="A8" t="inlineStr">
        <is>
          <t>Project RAG (by SPI)</t>
        </is>
      </c>
      <c r="B8">
        <f>IF(B6&gt;=VLOOKUP("GC",Thresholds!A:F,2,FALSE),"Green",IF(B6&gt;=VLOOKUP("GC",Thresholds!A:F,3,FALSE),"Yellow","Red"))</f>
        <v/>
      </c>
    </row>
    <row r="9">
      <c r="A9" t="inlineStr">
        <is>
          <t>Trade</t>
        </is>
      </c>
      <c r="B9" t="inlineStr">
        <is>
          <t>PCR</t>
        </is>
      </c>
      <c r="C9" t="inlineStr">
        <is>
          <t>ACR</t>
        </is>
      </c>
      <c r="D9" t="inlineStr">
        <is>
          <t>SPI</t>
        </is>
      </c>
    </row>
    <row r="10">
      <c r="A10" t="inlineStr">
        <is>
          <t>GC</t>
        </is>
      </c>
      <c r="B10">
        <f>IFERROR(COUNTIFS(Master_Plan!E:E,A10,Master_Plan!G:G,"&gt;=&amp;$B$1,Master_Plan!G:G, &lt;=&amp;$B$2)/COUNTIF(Master_Plan!E:E,A{r}),0)</f>
        <v/>
      </c>
      <c r="C10">
        <f>IFERROR(SUMPRODUCT((Master_Plan!E:E=A10)*(ISNUMBER(MATCH(Master_Plan!A:A,Actuals!A:A,0)))*(INDEX(Actuals!D:D,MATCH(Master_Plan!A:A,Actuals!A:A,0))&gt;=$B$1)*(INDEX(Actuals!D:D,MATCH(Master_Plan!A:A,Actuals!A:A,0))&lt;=$B$2))/COUNTIF(Master_Plan!E:E,A10),0)</f>
        <v/>
      </c>
      <c r="D10">
        <f>IFERROR(C10/B10,0)</f>
        <v/>
      </c>
    </row>
    <row r="11">
      <c r="A11" t="inlineStr">
        <is>
          <t>幕墙</t>
        </is>
      </c>
      <c r="B11">
        <f>IFERROR(COUNTIFS(Master_Plan!E:E,A11,Master_Plan!G:G,"&gt;=&amp;$B$1,Master_Plan!G:G, &lt;=&amp;$B$2)/COUNTIF(Master_Plan!E:E,A{r}),0)</f>
        <v/>
      </c>
      <c r="C11">
        <f>IFERROR(SUMPRODUCT((Master_Plan!E:E=A11)*(ISNUMBER(MATCH(Master_Plan!A:A,Actuals!A:A,0)))*(INDEX(Actuals!D:D,MATCH(Master_Plan!A:A,Actuals!A:A,0))&gt;=$B$1)*(INDEX(Actuals!D:D,MATCH(Master_Plan!A:A,Actuals!A:A,0))&lt;=$B$2))/COUNTIF(Master_Plan!E:E,A11),0)</f>
        <v/>
      </c>
      <c r="D11">
        <f>IFERROR(C11/B11,0)</f>
        <v/>
      </c>
    </row>
    <row r="12">
      <c r="A12" t="inlineStr">
        <is>
          <t>门窗</t>
        </is>
      </c>
      <c r="B12">
        <f>IFERROR(COUNTIFS(Master_Plan!E:E,A12,Master_Plan!G:G,"&gt;=&amp;$B$1,Master_Plan!G:G, &lt;=&amp;$B$2)/COUNTIF(Master_Plan!E:E,A{r}),0)</f>
        <v/>
      </c>
      <c r="C12">
        <f>IFERROR(SUMPRODUCT((Master_Plan!E:E=A12)*(ISNUMBER(MATCH(Master_Plan!A:A,Actuals!A:A,0)))*(INDEX(Actuals!D:D,MATCH(Master_Plan!A:A,Actuals!A:A,0))&gt;=$B$1)*(INDEX(Actuals!D:D,MATCH(Master_Plan!A:A,Actuals!A:A,0))&lt;=$B$2))/COUNTIF(Master_Plan!E:E,A12),0)</f>
        <v/>
      </c>
      <c r="D12">
        <f>IFERROR(C12/B12,0)</f>
        <v/>
      </c>
    </row>
    <row r="13">
      <c r="A13" t="inlineStr">
        <is>
          <t>机电</t>
        </is>
      </c>
      <c r="B13">
        <f>IFERROR(COUNTIFS(Master_Plan!E:E,A13,Master_Plan!G:G,"&gt;=&amp;$B$1,Master_Plan!G:G, &lt;=&amp;$B$2)/COUNTIF(Master_Plan!E:E,A{r}),0)</f>
        <v/>
      </c>
      <c r="C13">
        <f>IFERROR(SUMPRODUCT((Master_Plan!E:E=A13)*(ISNUMBER(MATCH(Master_Plan!A:A,Actuals!A:A,0)))*(INDEX(Actuals!D:D,MATCH(Master_Plan!A:A,Actuals!A:A,0))&gt;=$B$1)*(INDEX(Actuals!D:D,MATCH(Master_Plan!A:A,Actuals!A:A,0))&lt;=$B$2))/COUNTIF(Master_Plan!E:E,A13),0)</f>
        <v/>
      </c>
      <c r="D13">
        <f>IFERROR(C13/B13,0)</f>
        <v/>
      </c>
    </row>
    <row r="14">
      <c r="A14" t="inlineStr">
        <is>
          <t>精装</t>
        </is>
      </c>
      <c r="B14">
        <f>IFERROR(COUNTIFS(Master_Plan!E:E,A14,Master_Plan!G:G,"&gt;=&amp;$B$1,Master_Plan!G:G, &lt;=&amp;$B$2)/COUNTIF(Master_Plan!E:E,A{r}),0)</f>
        <v/>
      </c>
      <c r="C14">
        <f>IFERROR(SUMPRODUCT((Master_Plan!E:E=A14)*(ISNUMBER(MATCH(Master_Plan!A:A,Actuals!A:A,0)))*(INDEX(Actuals!D:D,MATCH(Master_Plan!A:A,Actuals!A:A,0))&gt;=$B$1)*(INDEX(Actuals!D:D,MATCH(Master_Plan!A:A,Actuals!A:A,0))&lt;=$B$2))/COUNTIF(Master_Plan!E:E,A14),0)</f>
        <v/>
      </c>
      <c r="D14">
        <f>IFERROR(C14/B14,0)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使用说明：
1) 先在 Lookups 维护下拉枚举（如 Trade/Issue_Type 等）。
2) 在 Master_Plan 维护基线计划；Total_Float_d 可由CPM计算后回填。
3) 在 Actuals 每日填报，最终完成时填写 Actual_Finish。
4) Dependencies 维护工序逻辑与时差（Lag_d）。
5) Thresholds 可按专业设置 RAG 阈值。
6) Dashboard 输入周起止日，自动计算 PCR/ACR/SPI（项目/专业）。
7) Master_Plan 的 RAG 目前按文本标记；后续可由计算层自动写回。
</t>
        </is>
      </c>
    </row>
    <row r="2"/>
    <row r="3"/>
    <row r="4"/>
    <row r="5"/>
    <row r="6"/>
    <row r="7"/>
    <row r="8"/>
    <row r="9"/>
    <row r="10"/>
    <row r="11"/>
    <row r="12"/>
  </sheetData>
  <mergeCells count="1">
    <mergeCell ref="A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2025-08-09T05:02:51Z</dcterms:created>
  <dcterms:modified xsi:type="dcterms:W3CDTF">2025-08-09T05:02:51Z</dcterms:modified>
</cp:coreProperties>
</file>